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<sst xmlns="http://schemas.openxmlformats.org/spreadsheetml/2006/main" count="38" uniqueCount="37">
  <si>
    <t>Dart Type</t>
  </si>
  <si>
    <t>Worker 1g</t>
  </si>
  <si>
    <t>Nitroshot</t>
  </si>
  <si>
    <t>Placeholder</t>
  </si>
  <si>
    <t>Shot 1</t>
  </si>
  <si>
    <t>Shot 2</t>
  </si>
  <si>
    <t>Shot 3</t>
  </si>
  <si>
    <t>Shot 4</t>
  </si>
  <si>
    <t>Shot 5</t>
  </si>
  <si>
    <t>Shot 6</t>
  </si>
  <si>
    <t>Shot 7</t>
  </si>
  <si>
    <t>Shot 8</t>
  </si>
  <si>
    <t>Shot 9</t>
  </si>
  <si>
    <t>Shot 10</t>
  </si>
  <si>
    <t>Shot 11</t>
  </si>
  <si>
    <t>Shot 12</t>
  </si>
  <si>
    <t>Shot 13</t>
  </si>
  <si>
    <t>Shot 14</t>
  </si>
  <si>
    <t>Shot 15</t>
  </si>
  <si>
    <t>Shot 16</t>
  </si>
  <si>
    <t>Shot 17</t>
  </si>
  <si>
    <t>Shot 18</t>
  </si>
  <si>
    <t>Shot 19</t>
  </si>
  <si>
    <t>Shot 20</t>
  </si>
  <si>
    <t>Data Below Line Is Automated, Do Not Touch</t>
  </si>
  <si>
    <t>Average FPS</t>
  </si>
  <si>
    <t>Lowest Shot</t>
  </si>
  <si>
    <t>Highest Shot</t>
  </si>
  <si>
    <t>25% Quartile</t>
  </si>
  <si>
    <t>75% Quartile</t>
  </si>
  <si>
    <t>Standard deviation</t>
  </si>
  <si>
    <t>Total Spread</t>
  </si>
  <si>
    <t>P25-P75 Spread</t>
  </si>
  <si>
    <t>Coefficient of Variation</t>
  </si>
  <si>
    <t>For Spread / Bell Curve</t>
  </si>
  <si>
    <t>FPS</t>
  </si>
  <si>
    <t>For Box 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</si>
</sst>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FPS]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F9FAFB"/>
      <name val="Quote-cjk-patch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4" xfId="0" applyFont="1" applyNumberFormat="1"/>
    <xf borderId="0" fillId="0" fontId="1" numFmtId="0" xfId="0" applyFont="1"/>
    <xf borderId="0" fillId="0" fontId="1" numFmtId="10" xfId="0" applyFont="1" applyNumberFormat="1"/>
    <xf borderId="0" fillId="2" fontId="1" numFmtId="0" xfId="0" applyFont="1"/>
    <xf borderId="0" fillId="2" fontId="1" numFmtId="0" xfId="0" applyAlignment="1" applyFont="1">
      <alignment horizontal="left"/>
    </xf>
    <xf borderId="0" fillId="2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FPS Spread</a:t>
            </a:r>
          </a:p>
        </c:rich>
      </c:tx>
      <c:overlay val="0"/>
    </c:title>
    <c:plotArea>
      <c:layout>
        <c:manualLayout>
          <c:xMode val="edge"/>
          <c:yMode val="edge"/>
          <c:x val="0.07083333333333333"/>
          <c:y val="0.21046770601336304"/>
          <c:w val="0.89825"/>
          <c:h val="0.6544259110079137"/>
        </c:manualLayout>
      </c:layout>
      <c:lineChart>
        <c:ser>
          <c:idx val="0"/>
          <c:order val="0"/>
          <c:tx>
            <c:strRef>
              <c:f>Sheet1!$B$34</c:f>
            </c:strRef>
          </c:tx>
          <c:spPr>
            <a:ln cmpd="sng" w="38100">
              <a:solidFill>
                <a:srgbClr val="D601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Sheet1!$A$35:$A$45</c:f>
            </c:strRef>
          </c:cat>
          <c:val>
            <c:numRef>
              <c:f>Sheet1!$B$35:$B$45</c:f>
              <c:numCache/>
            </c:numRef>
          </c:val>
          <c:smooth val="1"/>
        </c:ser>
        <c:ser>
          <c:idx val="1"/>
          <c:order val="1"/>
          <c:tx>
            <c:strRef>
              <c:f>Sheet1!$C$34</c:f>
            </c:strRef>
          </c:tx>
          <c:spPr>
            <a:ln cmpd="sng" w="38100">
              <a:solidFill>
                <a:srgbClr val="39BE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Sheet1!$A$35:$A$45</c:f>
            </c:strRef>
          </c:cat>
          <c:val>
            <c:numRef>
              <c:f>Sheet1!$C$35:$C$45</c:f>
              <c:numCache/>
            </c:numRef>
          </c:val>
          <c:smooth val="1"/>
        </c:ser>
        <c:ser>
          <c:idx val="2"/>
          <c:order val="2"/>
          <c:tx>
            <c:strRef>
              <c:f>Sheet1!$D$34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Sheet1!$A$35:$A$45</c:f>
            </c:strRef>
          </c:cat>
          <c:val>
            <c:numRef>
              <c:f>Sheet1!$D$35:$D$45</c:f>
              <c:numCache/>
            </c:numRef>
          </c:val>
          <c:smooth val="1"/>
        </c:ser>
        <c:axId val="1232549644"/>
        <c:axId val="1122947226"/>
      </c:lineChart>
      <c:catAx>
        <c:axId val="123254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FPS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947226"/>
      </c:catAx>
      <c:valAx>
        <c:axId val="1122947226"/>
        <c:scaling>
          <c:orientation val="minMax"/>
          <c:max val="10.5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232549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33</xdr:row>
      <xdr:rowOff>180975</xdr:rowOff>
    </xdr:from>
    <xdr:ext cx="5791200" cy="4276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10" max="10" width="12.0"/>
    <col customWidth="1" min="11" max="11" width="13.38"/>
    <col customWidth="1" min="12" max="12" width="11.75"/>
    <col customWidth="1" min="13" max="13" width="13.38"/>
    <col customWidth="1" min="14" max="14" width="14.88"/>
    <col customWidth="1" min="15" max="1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>
      <c r="A3" s="2" t="s">
        <v>5</v>
      </c>
    </row>
    <row r="4">
      <c r="A4" s="2" t="s">
        <v>6</v>
      </c>
    </row>
    <row r="5">
      <c r="A5" s="2" t="s">
        <v>7</v>
      </c>
    </row>
    <row r="6">
      <c r="A6" s="2" t="s">
        <v>8</v>
      </c>
    </row>
    <row r="7">
      <c r="A7" s="2" t="s">
        <v>9</v>
      </c>
    </row>
    <row r="8">
      <c r="A8" s="2" t="s">
        <v>10</v>
      </c>
    </row>
    <row r="9">
      <c r="A9" s="2" t="s">
        <v>11</v>
      </c>
    </row>
    <row r="10">
      <c r="A10" s="2" t="s">
        <v>12</v>
      </c>
    </row>
    <row r="11">
      <c r="A11" s="2" t="s">
        <v>13</v>
      </c>
    </row>
    <row r="12">
      <c r="A12" s="2" t="s">
        <v>14</v>
      </c>
    </row>
    <row r="13">
      <c r="A13" s="2" t="s">
        <v>15</v>
      </c>
    </row>
    <row r="14">
      <c r="A14" s="2" t="s">
        <v>16</v>
      </c>
    </row>
    <row r="15">
      <c r="A15" s="2" t="s">
        <v>17</v>
      </c>
    </row>
    <row r="16">
      <c r="A16" s="2" t="s">
        <v>18</v>
      </c>
    </row>
    <row r="17">
      <c r="A17" s="2" t="s">
        <v>19</v>
      </c>
    </row>
    <row r="18">
      <c r="A18" s="2" t="s">
        <v>20</v>
      </c>
      <c r="E18" s="3"/>
    </row>
    <row r="19">
      <c r="A19" s="2" t="s">
        <v>21</v>
      </c>
      <c r="E19" s="3"/>
    </row>
    <row r="20">
      <c r="A20" s="2" t="s">
        <v>22</v>
      </c>
    </row>
    <row r="21">
      <c r="A21" s="2" t="s">
        <v>23</v>
      </c>
      <c r="F21" s="2" t="s">
        <v>24</v>
      </c>
    </row>
    <row r="22" ht="7.5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 t="s">
        <v>25</v>
      </c>
      <c r="B23" s="6" t="str">
        <f t="shared" ref="B23:D23" si="1">AVERAGE(B2:B21)</f>
        <v>#DIV/0!</v>
      </c>
      <c r="C23" s="6" t="str">
        <f t="shared" si="1"/>
        <v>#DIV/0!</v>
      </c>
      <c r="D23" s="6" t="str">
        <f t="shared" si="1"/>
        <v>#DIV/0!</v>
      </c>
    </row>
    <row r="24">
      <c r="A24" s="2" t="s">
        <v>26</v>
      </c>
      <c r="B24" s="7">
        <f t="shared" ref="B24:D24" si="2">MIN(B2:B21)</f>
        <v>0</v>
      </c>
      <c r="C24" s="7">
        <f t="shared" si="2"/>
        <v>0</v>
      </c>
      <c r="D24" s="7">
        <f t="shared" si="2"/>
        <v>0</v>
      </c>
    </row>
    <row r="25">
      <c r="A25" s="2" t="s">
        <v>27</v>
      </c>
      <c r="B25" s="7">
        <f t="shared" ref="B25:D25" si="3">MAX(B2:B21)</f>
        <v>0</v>
      </c>
      <c r="C25" s="7">
        <f t="shared" si="3"/>
        <v>0</v>
      </c>
      <c r="D25" s="7">
        <f t="shared" si="3"/>
        <v>0</v>
      </c>
    </row>
    <row r="26">
      <c r="A26" s="2" t="s">
        <v>28</v>
      </c>
      <c r="B26" s="6" t="str">
        <f t="shared" ref="B26:D26" si="4">QUARTILE(B$2:B$21, 1)</f>
        <v>#NUM!</v>
      </c>
      <c r="C26" s="6" t="str">
        <f t="shared" si="4"/>
        <v>#NUM!</v>
      </c>
      <c r="D26" s="6" t="str">
        <f t="shared" si="4"/>
        <v>#NUM!</v>
      </c>
    </row>
    <row r="27">
      <c r="A27" s="2" t="s">
        <v>29</v>
      </c>
      <c r="B27" s="6" t="str">
        <f t="shared" ref="B27:D27" si="5">QUARTILE(B$2:B$21, 3)</f>
        <v>#NUM!</v>
      </c>
      <c r="C27" s="6" t="str">
        <f t="shared" si="5"/>
        <v>#NUM!</v>
      </c>
      <c r="D27" s="6" t="str">
        <f t="shared" si="5"/>
        <v>#NUM!</v>
      </c>
    </row>
    <row r="28">
      <c r="A28" s="2" t="s">
        <v>30</v>
      </c>
      <c r="B28" s="6" t="str">
        <f t="shared" ref="B28:D28" si="6">STDEV(B2:B21)</f>
        <v>#DIV/0!</v>
      </c>
      <c r="C28" s="6" t="str">
        <f t="shared" si="6"/>
        <v>#DIV/0!</v>
      </c>
      <c r="D28" s="6" t="str">
        <f t="shared" si="6"/>
        <v>#DIV/0!</v>
      </c>
    </row>
    <row r="29">
      <c r="A29" s="2" t="s">
        <v>31</v>
      </c>
      <c r="B29" s="7">
        <f t="shared" ref="B29:D29" si="7">B25-B24</f>
        <v>0</v>
      </c>
      <c r="C29" s="7">
        <f t="shared" si="7"/>
        <v>0</v>
      </c>
      <c r="D29" s="7">
        <f t="shared" si="7"/>
        <v>0</v>
      </c>
    </row>
    <row r="30">
      <c r="A30" s="2" t="s">
        <v>32</v>
      </c>
      <c r="B30" s="7" t="str">
        <f t="shared" ref="B30:D30" si="8">B27-B26</f>
        <v>#NUM!</v>
      </c>
      <c r="C30" s="7" t="str">
        <f t="shared" si="8"/>
        <v>#NUM!</v>
      </c>
      <c r="D30" s="7" t="str">
        <f t="shared" si="8"/>
        <v>#NUM!</v>
      </c>
      <c r="L30" s="2"/>
    </row>
    <row r="31">
      <c r="A31" s="2" t="s">
        <v>33</v>
      </c>
      <c r="B31" s="8" t="str">
        <f t="shared" ref="B31:D31" si="9">(B28/B23)</f>
        <v>#DIV/0!</v>
      </c>
      <c r="C31" s="8" t="str">
        <f t="shared" si="9"/>
        <v>#DIV/0!</v>
      </c>
      <c r="D31" s="8" t="str">
        <f t="shared" si="9"/>
        <v>#DIV/0!</v>
      </c>
      <c r="H31" s="9"/>
      <c r="I31" s="10" t="str">
        <f>A23</f>
        <v>Average FPS</v>
      </c>
      <c r="J31" s="10" t="str">
        <f>A25</f>
        <v>Highest Shot</v>
      </c>
      <c r="K31" s="10" t="str">
        <f>A24</f>
        <v>Lowest Shot</v>
      </c>
      <c r="L31" s="11" t="str">
        <f>A29</f>
        <v>Total Spread</v>
      </c>
      <c r="M31" s="10" t="str">
        <f>A30</f>
        <v>P25-P75 Spread</v>
      </c>
      <c r="N31" s="10" t="str">
        <f>A28</f>
        <v>Standard deviation</v>
      </c>
      <c r="O31" s="10" t="str">
        <f>A31</f>
        <v>Coefficient of Variation</v>
      </c>
      <c r="P31" s="10"/>
    </row>
    <row r="32">
      <c r="H32" s="9" t="str">
        <f>B1</f>
        <v>Worker 1g</v>
      </c>
      <c r="I32" s="12" t="str">
        <f>B23</f>
        <v>#DIV/0!</v>
      </c>
      <c r="J32" s="12">
        <f>B25</f>
        <v>0</v>
      </c>
      <c r="K32" s="12">
        <f>B24</f>
        <v>0</v>
      </c>
      <c r="L32" s="12">
        <f>B29</f>
        <v>0</v>
      </c>
      <c r="M32" s="12" t="str">
        <f>B30</f>
        <v>#NUM!</v>
      </c>
      <c r="N32" s="12" t="str">
        <f>B28</f>
        <v>#DIV/0!</v>
      </c>
      <c r="O32" s="13" t="str">
        <f>B31</f>
        <v>#DIV/0!</v>
      </c>
      <c r="P32" s="14"/>
    </row>
    <row r="33">
      <c r="A33" s="15" t="s">
        <v>34</v>
      </c>
      <c r="H33" s="9" t="str">
        <f>C1</f>
        <v>Nitroshot</v>
      </c>
      <c r="I33" s="12" t="str">
        <f>C23</f>
        <v>#DIV/0!</v>
      </c>
      <c r="J33" s="12">
        <f>C25</f>
        <v>0</v>
      </c>
      <c r="K33" s="12">
        <f>C24</f>
        <v>0</v>
      </c>
      <c r="L33" s="12">
        <f>C29</f>
        <v>0</v>
      </c>
      <c r="M33" s="12" t="str">
        <f>C30</f>
        <v>#NUM!</v>
      </c>
      <c r="N33" s="12" t="str">
        <f>C28</f>
        <v>#DIV/0!</v>
      </c>
      <c r="O33" s="13" t="str">
        <f>C31</f>
        <v>#DIV/0!</v>
      </c>
      <c r="P33" s="14"/>
    </row>
    <row r="34">
      <c r="A34" s="1" t="s">
        <v>35</v>
      </c>
      <c r="B34" s="1" t="str">
        <f t="shared" ref="B34:D34" si="10">B1</f>
        <v>Worker 1g</v>
      </c>
      <c r="C34" s="1" t="str">
        <f t="shared" si="10"/>
        <v>Nitroshot</v>
      </c>
      <c r="D34" s="1" t="str">
        <f t="shared" si="10"/>
        <v>Placeholder</v>
      </c>
      <c r="H34" s="9" t="str">
        <f>D1</f>
        <v>Placeholder</v>
      </c>
      <c r="I34" s="12" t="str">
        <f>D23</f>
        <v>#DIV/0!</v>
      </c>
      <c r="J34" s="12">
        <f>D25</f>
        <v>0</v>
      </c>
      <c r="K34" s="12">
        <f>D24</f>
        <v>0</v>
      </c>
      <c r="L34" s="12">
        <f>D29</f>
        <v>0</v>
      </c>
      <c r="M34" s="12" t="str">
        <f>D30</f>
        <v>#NUM!</v>
      </c>
      <c r="N34" s="12" t="str">
        <f>D28</f>
        <v>#DIV/0!</v>
      </c>
      <c r="O34" s="13" t="str">
        <f>D31</f>
        <v>#DIV/0!</v>
      </c>
      <c r="P34" s="14"/>
    </row>
    <row r="35">
      <c r="A35" s="2">
        <v>80.0</v>
      </c>
      <c r="B35" s="7">
        <f t="shared" ref="B35:D35" si="11">COUNTIFS(B$2:B$21,"&gt;="&amp;$A35,B$2:B$21,"&lt;"&amp;$A36)</f>
        <v>0</v>
      </c>
      <c r="C35" s="7">
        <f t="shared" si="11"/>
        <v>0</v>
      </c>
      <c r="D35" s="7">
        <f t="shared" si="11"/>
        <v>0</v>
      </c>
    </row>
    <row r="36">
      <c r="A36" s="7">
        <f t="shared" ref="A36:A45" si="13">A35+5</f>
        <v>85</v>
      </c>
      <c r="B36" s="7">
        <f t="shared" ref="B36:D36" si="12">COUNTIFS(B$2:B$21,"&gt;="&amp;$A36,B$2:B$21,"&lt;"&amp;$A37)</f>
        <v>0</v>
      </c>
      <c r="C36" s="7">
        <f t="shared" si="12"/>
        <v>0</v>
      </c>
      <c r="D36" s="7">
        <f t="shared" si="12"/>
        <v>0</v>
      </c>
    </row>
    <row r="37">
      <c r="A37" s="7">
        <f t="shared" si="13"/>
        <v>90</v>
      </c>
      <c r="B37" s="7">
        <f t="shared" ref="B37:D37" si="14">COUNTIFS(B$2:B$21,"&gt;="&amp;$A37,B$2:B$21,"&lt;"&amp;$A38)</f>
        <v>0</v>
      </c>
      <c r="C37" s="7">
        <f t="shared" si="14"/>
        <v>0</v>
      </c>
      <c r="D37" s="7">
        <f t="shared" si="14"/>
        <v>0</v>
      </c>
    </row>
    <row r="38">
      <c r="A38" s="7">
        <f t="shared" si="13"/>
        <v>95</v>
      </c>
      <c r="B38" s="7">
        <f t="shared" ref="B38:D38" si="15">COUNTIFS(B$2:B$21,"&gt;="&amp;$A38,B$2:B$21,"&lt;"&amp;$A39)</f>
        <v>0</v>
      </c>
      <c r="C38" s="7">
        <f t="shared" si="15"/>
        <v>0</v>
      </c>
      <c r="D38" s="7">
        <f t="shared" si="15"/>
        <v>0</v>
      </c>
    </row>
    <row r="39">
      <c r="A39" s="7">
        <f t="shared" si="13"/>
        <v>100</v>
      </c>
      <c r="B39" s="7">
        <f t="shared" ref="B39:D39" si="16">COUNTIFS(B$2:B$21,"&gt;="&amp;$A39,B$2:B$21,"&lt;"&amp;$A40)</f>
        <v>0</v>
      </c>
      <c r="C39" s="7">
        <f t="shared" si="16"/>
        <v>0</v>
      </c>
      <c r="D39" s="7">
        <f t="shared" si="16"/>
        <v>0</v>
      </c>
    </row>
    <row r="40">
      <c r="A40" s="7">
        <f t="shared" si="13"/>
        <v>105</v>
      </c>
      <c r="B40" s="7">
        <f t="shared" ref="B40:D40" si="17">COUNTIFS(B$2:B$21,"&gt;="&amp;$A40,B$2:B$21,"&lt;"&amp;$A41)</f>
        <v>0</v>
      </c>
      <c r="C40" s="7">
        <f t="shared" si="17"/>
        <v>0</v>
      </c>
      <c r="D40" s="7">
        <f t="shared" si="17"/>
        <v>0</v>
      </c>
    </row>
    <row r="41">
      <c r="A41" s="7">
        <f t="shared" si="13"/>
        <v>110</v>
      </c>
      <c r="B41" s="7">
        <f t="shared" ref="B41:D41" si="18">COUNTIFS(B$2:B$21,"&gt;="&amp;$A41,B$2:B$21,"&lt;"&amp;$A42)</f>
        <v>0</v>
      </c>
      <c r="C41" s="7">
        <f t="shared" si="18"/>
        <v>0</v>
      </c>
      <c r="D41" s="7">
        <f t="shared" si="18"/>
        <v>0</v>
      </c>
    </row>
    <row r="42">
      <c r="A42" s="7">
        <f t="shared" si="13"/>
        <v>115</v>
      </c>
      <c r="B42" s="7">
        <f t="shared" ref="B42:D42" si="19">COUNTIFS(B$2:B$21,"&gt;="&amp;$A42,B$2:B$21,"&lt;"&amp;$A43)</f>
        <v>0</v>
      </c>
      <c r="C42" s="7">
        <f t="shared" si="19"/>
        <v>0</v>
      </c>
      <c r="D42" s="7">
        <f t="shared" si="19"/>
        <v>0</v>
      </c>
    </row>
    <row r="43">
      <c r="A43" s="7">
        <f t="shared" si="13"/>
        <v>120</v>
      </c>
      <c r="B43" s="7">
        <f t="shared" ref="B43:D43" si="20">COUNTIFS(B$2:B$21,"&gt;="&amp;$A43,B$2:B$21,"&lt;"&amp;$A44)</f>
        <v>0</v>
      </c>
      <c r="C43" s="7">
        <f t="shared" si="20"/>
        <v>0</v>
      </c>
      <c r="D43" s="7">
        <f t="shared" si="20"/>
        <v>0</v>
      </c>
    </row>
    <row r="44">
      <c r="A44" s="7">
        <f t="shared" si="13"/>
        <v>125</v>
      </c>
      <c r="B44" s="7">
        <f t="shared" ref="B44:D44" si="21">COUNTIFS(B$2:B$21,"&gt;="&amp;$A44,B$2:B$21,"&lt;"&amp;$A45)</f>
        <v>0</v>
      </c>
      <c r="C44" s="7">
        <f t="shared" si="21"/>
        <v>0</v>
      </c>
      <c r="D44" s="7">
        <f t="shared" si="21"/>
        <v>0</v>
      </c>
    </row>
    <row r="45">
      <c r="A45" s="7">
        <f t="shared" si="13"/>
        <v>130</v>
      </c>
      <c r="B45" s="7">
        <f t="shared" ref="B45:D45" si="22">COUNTIFS(B$2:B$21,"&gt;="&amp;$A45,B$2:B$21,"&lt;"&amp;$A47)</f>
        <v>0</v>
      </c>
      <c r="C45" s="7">
        <f t="shared" si="22"/>
        <v>0</v>
      </c>
      <c r="D45" s="7">
        <f t="shared" si="22"/>
        <v>0</v>
      </c>
    </row>
    <row r="47">
      <c r="A47" s="15" t="s">
        <v>36</v>
      </c>
    </row>
    <row r="48">
      <c r="A48" s="9"/>
      <c r="B48" s="1" t="str">
        <f>A24</f>
        <v>Lowest Shot</v>
      </c>
      <c r="C48" s="9" t="str">
        <f>A25</f>
        <v>Highest Shot</v>
      </c>
      <c r="D48" s="9" t="str">
        <f>A26</f>
        <v>25% Quartile</v>
      </c>
      <c r="E48" s="9" t="str">
        <f>A27</f>
        <v>75% Quartile</v>
      </c>
      <c r="F48" s="9" t="str">
        <f>A23</f>
        <v>Average FPS</v>
      </c>
    </row>
    <row r="49">
      <c r="A49" s="1" t="str">
        <f>B$1</f>
        <v>Worker 1g</v>
      </c>
      <c r="B49" s="7">
        <f>B24</f>
        <v>0</v>
      </c>
      <c r="C49" s="7">
        <f>B25</f>
        <v>0</v>
      </c>
      <c r="D49" s="6" t="str">
        <f>B26</f>
        <v>#NUM!</v>
      </c>
      <c r="E49" s="6" t="str">
        <f>B27</f>
        <v>#NUM!</v>
      </c>
      <c r="F49" s="6" t="str">
        <f>B23</f>
        <v>#DIV/0!</v>
      </c>
    </row>
    <row r="50">
      <c r="A50" s="1" t="str">
        <f>C$1</f>
        <v>Nitroshot</v>
      </c>
      <c r="B50" s="7">
        <f>C24</f>
        <v>0</v>
      </c>
      <c r="C50" s="7">
        <f>C25</f>
        <v>0</v>
      </c>
      <c r="D50" s="6" t="str">
        <f>C26</f>
        <v>#NUM!</v>
      </c>
      <c r="E50" s="6" t="str">
        <f>C27</f>
        <v>#NUM!</v>
      </c>
      <c r="F50" s="6" t="str">
        <f>B23</f>
        <v>#DIV/0!</v>
      </c>
    </row>
    <row r="51">
      <c r="A51" s="9" t="s">
        <v>3</v>
      </c>
      <c r="B51" s="7">
        <f>D24</f>
        <v>0</v>
      </c>
      <c r="C51" s="7">
        <f>D25</f>
        <v>0</v>
      </c>
      <c r="D51" s="6" t="str">
        <f>D26</f>
        <v>#NUM!</v>
      </c>
      <c r="E51" s="6" t="str">
        <f>D27</f>
        <v>#NUM!</v>
      </c>
      <c r="F51" s="6" t="str">
        <f>D23</f>
        <v>#DIV/0!</v>
      </c>
    </row>
  </sheetData>
  <drawing r:id="rId1"/>
</worksheet>
</file>